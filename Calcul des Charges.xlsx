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8" i="1" l="1"/>
  <c r="Z9" i="1"/>
  <c r="Z10" i="1"/>
  <c r="Z11" i="1"/>
  <c r="Z12" i="1"/>
  <c r="Z7" i="1"/>
  <c r="X8" i="1"/>
  <c r="X9" i="1"/>
  <c r="X10" i="1"/>
  <c r="X11" i="1"/>
  <c r="X12" i="1"/>
  <c r="X7" i="1"/>
  <c r="W8" i="1"/>
  <c r="W9" i="1"/>
  <c r="W10" i="1"/>
  <c r="W11" i="1"/>
  <c r="W12" i="1"/>
  <c r="W7" i="1"/>
  <c r="T8" i="1" l="1"/>
  <c r="T9" i="1"/>
  <c r="T10" i="1"/>
  <c r="T11" i="1"/>
  <c r="T12" i="1"/>
  <c r="T7" i="1"/>
  <c r="S8" i="1"/>
  <c r="S9" i="1"/>
  <c r="S10" i="1"/>
  <c r="S11" i="1"/>
  <c r="S12" i="1"/>
  <c r="S7" i="1"/>
  <c r="R7" i="1"/>
  <c r="R8" i="1"/>
  <c r="R9" i="1"/>
  <c r="R10" i="1"/>
  <c r="R11" i="1"/>
  <c r="R12" i="1"/>
  <c r="Q8" i="1"/>
  <c r="Q9" i="1"/>
  <c r="Q10" i="1"/>
  <c r="Q11" i="1"/>
  <c r="Q12" i="1"/>
  <c r="Q7" i="1"/>
  <c r="P8" i="1"/>
  <c r="P9" i="1"/>
  <c r="P10" i="1"/>
  <c r="P11" i="1"/>
  <c r="P12" i="1"/>
  <c r="P7" i="1"/>
  <c r="O8" i="1"/>
  <c r="O7" i="1"/>
  <c r="O9" i="1"/>
  <c r="O10" i="1"/>
  <c r="O11" i="1"/>
  <c r="O12" i="1"/>
  <c r="N8" i="1" l="1"/>
  <c r="N9" i="1"/>
  <c r="N10" i="1"/>
  <c r="N11" i="1"/>
  <c r="N12" i="1"/>
  <c r="N7" i="1"/>
</calcChain>
</file>

<file path=xl/sharedStrings.xml><?xml version="1.0" encoding="utf-8"?>
<sst xmlns="http://schemas.openxmlformats.org/spreadsheetml/2006/main" count="20" uniqueCount="20">
  <si>
    <t>Scenarios</t>
  </si>
  <si>
    <r>
      <t>Q (m</t>
    </r>
    <r>
      <rPr>
        <b/>
        <vertAlign val="superscript"/>
        <sz val="12"/>
        <color rgb="FF000000"/>
        <rFont val="Arial"/>
        <family val="2"/>
      </rPr>
      <t>3</t>
    </r>
    <r>
      <rPr>
        <b/>
        <sz val="12"/>
        <color rgb="FF000000"/>
        <rFont val="Arial"/>
        <family val="2"/>
      </rPr>
      <t>/s)</t>
    </r>
  </si>
  <si>
    <t>H Lit (m)</t>
  </si>
  <si>
    <t>H Bridge (m)</t>
  </si>
  <si>
    <t>Water (m)</t>
  </si>
  <si>
    <t>V (m/s)</t>
  </si>
  <si>
    <t>Width (m)</t>
  </si>
  <si>
    <t>h*</t>
  </si>
  <si>
    <t>CD</t>
  </si>
  <si>
    <t>CL</t>
  </si>
  <si>
    <r>
      <t>FD</t>
    </r>
    <r>
      <rPr>
        <b/>
        <sz val="12"/>
        <color rgb="FF000000"/>
        <rFont val="Arial"/>
        <family val="2"/>
      </rPr>
      <t>(N/m)</t>
    </r>
  </si>
  <si>
    <r>
      <t>FL</t>
    </r>
    <r>
      <rPr>
        <b/>
        <sz val="12"/>
        <color rgb="FF000000"/>
        <rFont val="Arial"/>
        <family val="2"/>
      </rPr>
      <t>(N/m)</t>
    </r>
  </si>
  <si>
    <t>CM</t>
  </si>
  <si>
    <t>Mcg (Nm)</t>
  </si>
  <si>
    <t>FD N</t>
  </si>
  <si>
    <t xml:space="preserve">FL N </t>
  </si>
  <si>
    <t>Poids (N)</t>
  </si>
  <si>
    <t>DESTABILISATRICE</t>
  </si>
  <si>
    <t>STABILITE DU PONT KAVIMVIRA</t>
  </si>
  <si>
    <t>On prend mu = 1 pour ignoré le frottement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</si>
</sst>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2" fillId="0" borderId="0" xfId="0" applyFont="1" applyAlignment="1">
      <alignment horizontal="center" vertical="center"/>
    </xf>
    <xf numFmtId="0" fontId="0" fillId="0" borderId="3" xfId="0" applyBorder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184336</xdr:colOff>
      <xdr:row>29</xdr:row>
      <xdr:rowOff>158563</xdr:rowOff>
    </xdr:from>
    <xdr:to>
      <xdr:col>21</xdr:col>
      <xdr:colOff>650145</xdr:colOff>
      <xdr:row>46</xdr:row>
      <xdr:rowOff>110539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8336" y="6008034"/>
          <a:ext cx="7323809" cy="31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627530</xdr:colOff>
      <xdr:row>15</xdr:row>
      <xdr:rowOff>109510</xdr:rowOff>
    </xdr:from>
    <xdr:to>
      <xdr:col>11</xdr:col>
      <xdr:colOff>248772</xdr:colOff>
      <xdr:row>31</xdr:row>
      <xdr:rowOff>26998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530" y="3291981"/>
          <a:ext cx="8003242" cy="2965488"/>
        </a:xfrm>
        <a:prstGeom prst="rect">
          <a:avLst/>
        </a:prstGeom>
      </xdr:spPr>
    </xdr:pic>
    <xdr:clientData/>
  </xdr:twoCellAnchor>
  <xdr:twoCellAnchor editAs="oneCell">
    <xdr:from>
      <xdr:col>11</xdr:col>
      <xdr:colOff>300157</xdr:colOff>
      <xdr:row>15</xdr:row>
      <xdr:rowOff>56829</xdr:rowOff>
    </xdr:from>
    <xdr:to>
      <xdr:col>21</xdr:col>
      <xdr:colOff>80157</xdr:colOff>
      <xdr:row>25</xdr:row>
      <xdr:rowOff>132781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82157" y="3239300"/>
          <a:ext cx="7400000" cy="1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647539</xdr:colOff>
      <xdr:row>35</xdr:row>
      <xdr:rowOff>85645</xdr:rowOff>
    </xdr:from>
    <xdr:to>
      <xdr:col>11</xdr:col>
      <xdr:colOff>627634</xdr:colOff>
      <xdr:row>49</xdr:row>
      <xdr:rowOff>66264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1539" y="7078116"/>
          <a:ext cx="6838095" cy="2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Z15"/>
  <sheetViews>
    <sheetView tabSelected="1" topLeftCell="M1" zoomScale="85" zoomScaleNormal="85" workbookViewId="0">
      <selection activeCell="W24" sqref="W24"/>
    </sheetView>
  </sheetViews>
  <sheetFormatPr baseColWidth="10" defaultRowHeight="15" x14ac:dyDescent="0.25"/>
  <cols>
    <col min="26" max="26" width="25.85546875" customWidth="1"/>
  </cols>
  <sheetData>
    <row r="2" spans="6:26" x14ac:dyDescent="0.25">
      <c r="W2" s="12" t="s">
        <v>18</v>
      </c>
      <c r="X2" s="12"/>
      <c r="Y2" s="12"/>
      <c r="Z2" s="12"/>
    </row>
    <row r="3" spans="6:26" x14ac:dyDescent="0.25">
      <c r="W3" s="12"/>
      <c r="X3" s="12"/>
      <c r="Y3" s="12"/>
      <c r="Z3" s="12"/>
    </row>
    <row r="5" spans="6:26" ht="15.75" thickBot="1" x14ac:dyDescent="0.3">
      <c r="T5" s="9"/>
      <c r="X5" s="9"/>
      <c r="Z5" s="9"/>
    </row>
    <row r="6" spans="6:26" ht="32.25" thickBot="1" x14ac:dyDescent="0.3">
      <c r="F6" s="1" t="s">
        <v>0</v>
      </c>
      <c r="G6" s="1" t="s">
        <v>1</v>
      </c>
      <c r="H6" s="2" t="s">
        <v>2</v>
      </c>
      <c r="I6" s="2" t="s">
        <v>3</v>
      </c>
      <c r="J6" s="2" t="s">
        <v>4</v>
      </c>
      <c r="K6" s="1" t="s">
        <v>5</v>
      </c>
      <c r="L6" s="1" t="s">
        <v>6</v>
      </c>
      <c r="N6" s="2" t="s">
        <v>7</v>
      </c>
      <c r="O6" s="7" t="s">
        <v>8</v>
      </c>
      <c r="P6" s="7" t="s">
        <v>9</v>
      </c>
      <c r="Q6" s="7" t="s">
        <v>12</v>
      </c>
      <c r="R6" s="7" t="s">
        <v>10</v>
      </c>
      <c r="S6" s="7" t="s">
        <v>11</v>
      </c>
      <c r="T6" s="10" t="s">
        <v>13</v>
      </c>
      <c r="W6" s="10" t="s">
        <v>14</v>
      </c>
      <c r="X6" s="10" t="s">
        <v>15</v>
      </c>
      <c r="Y6" s="10" t="s">
        <v>16</v>
      </c>
      <c r="Z6" s="10" t="s">
        <v>17</v>
      </c>
    </row>
    <row r="7" spans="6:26" ht="15.75" x14ac:dyDescent="0.25">
      <c r="F7" s="3">
        <v>1</v>
      </c>
      <c r="G7" s="4">
        <v>753.37</v>
      </c>
      <c r="H7" s="3">
        <v>800</v>
      </c>
      <c r="I7" s="3">
        <v>802.5</v>
      </c>
      <c r="J7" s="3">
        <v>804.3</v>
      </c>
      <c r="K7" s="3">
        <v>9.4600000000000009</v>
      </c>
      <c r="L7" s="3">
        <v>30</v>
      </c>
      <c r="N7" s="3">
        <f>(J7-I7)</f>
        <v>1.7999999999999545</v>
      </c>
      <c r="O7" s="3">
        <f>2.7*EXP(-2*(N7^2))-2.7*EXP(-0.7*((5*N7)^2))+1.75</f>
        <v>1.7541412888341774</v>
      </c>
      <c r="P7" s="3">
        <f>3*(EXP(-3.5*(N7^2))-EXP(-0.65*((N7)^1.7)))</f>
        <v>-0.51324942247838146</v>
      </c>
      <c r="Q7" s="3">
        <f>0.8*((N7)^2)*(EXP(-1.6*(N7)^2))-0.07</f>
        <v>-5.547044199747278E-2</v>
      </c>
      <c r="R7" s="3">
        <f>1000*O7*(K7^2)*1/2</f>
        <v>78490.455281916351</v>
      </c>
      <c r="S7" s="3">
        <f>1000*P7*(K7^2)*6/2</f>
        <v>-137794.53604999901</v>
      </c>
      <c r="T7" s="8">
        <f>1000*Q7*(K7^2)*36/2</f>
        <v>-89354.494927098654</v>
      </c>
      <c r="W7">
        <f>R7*30</f>
        <v>2354713.6584574906</v>
      </c>
      <c r="X7">
        <f>S7*30</f>
        <v>-4133836.0814999701</v>
      </c>
      <c r="Y7">
        <v>412020</v>
      </c>
      <c r="Z7">
        <f>(X7-Y7)*(-1)</f>
        <v>4545856.0814999696</v>
      </c>
    </row>
    <row r="8" spans="6:26" ht="15.75" x14ac:dyDescent="0.25">
      <c r="F8" s="3">
        <v>2</v>
      </c>
      <c r="G8" s="4">
        <v>1027.79</v>
      </c>
      <c r="H8" s="3">
        <v>800</v>
      </c>
      <c r="I8" s="3">
        <v>802.5</v>
      </c>
      <c r="J8" s="3">
        <v>805.01</v>
      </c>
      <c r="K8" s="3">
        <v>10.01</v>
      </c>
      <c r="L8" s="3">
        <v>52</v>
      </c>
      <c r="N8" s="3">
        <f t="shared" ref="N8:N12" si="0">(J8-I8)</f>
        <v>2.5099999999999909</v>
      </c>
      <c r="O8" s="3">
        <f>2.7*EXP(-2*(N8^2))-2.7*EXP(-0.7*((5*N8)^2))+1.75</f>
        <v>1.7500091026204261</v>
      </c>
      <c r="P8" s="3">
        <f t="shared" ref="P8:P12" si="1">3*(EXP(-3.5*(N8^2))-EXP(-0.65*((N8)^1.7)))</f>
        <v>-0.13418814245574956</v>
      </c>
      <c r="Q8" s="3">
        <f t="shared" ref="Q8:Q12" si="2">0.8*((N8)^2)*(EXP(-1.6*(N8)^2))-0.07</f>
        <v>-6.9788806977699278E-2</v>
      </c>
      <c r="R8" s="3">
        <f t="shared" ref="R8:R12" si="3">1000*O8*(K8^2)*1/2</f>
        <v>87675.543541738472</v>
      </c>
      <c r="S8" s="3">
        <f t="shared" ref="S8:S12" si="4">1000*P8*(K8^2)*6/2</f>
        <v>-40336.99587864105</v>
      </c>
      <c r="T8" s="8">
        <f t="shared" ref="T8:T12" si="5">1000*Q8*(K8^2)*36/2</f>
        <v>-125871.21788483097</v>
      </c>
      <c r="W8">
        <f t="shared" ref="W8:W12" si="6">R8*30</f>
        <v>2630266.3062521541</v>
      </c>
      <c r="X8">
        <f t="shared" ref="X8:X12" si="7">S8*30</f>
        <v>-1210109.8763592315</v>
      </c>
      <c r="Y8">
        <v>412020</v>
      </c>
      <c r="Z8">
        <f t="shared" ref="Z8:Z12" si="8">(X8-Y8)*(-1)</f>
        <v>1622129.8763592315</v>
      </c>
    </row>
    <row r="9" spans="6:26" ht="15.75" x14ac:dyDescent="0.25">
      <c r="F9" s="3">
        <v>3</v>
      </c>
      <c r="G9" s="4">
        <v>1220.04</v>
      </c>
      <c r="H9" s="3">
        <v>800</v>
      </c>
      <c r="I9" s="3">
        <v>802.5</v>
      </c>
      <c r="J9" s="3">
        <v>805.46</v>
      </c>
      <c r="K9" s="3">
        <v>10.42</v>
      </c>
      <c r="L9" s="3">
        <v>52</v>
      </c>
      <c r="N9" s="3">
        <f t="shared" si="0"/>
        <v>2.9600000000000364</v>
      </c>
      <c r="O9" s="3">
        <f t="shared" ref="O9:O12" si="9">2.7*EXP(-2*(N9^2))-2.7*EXP(-0.7*((5*N9)^2))+1.75</f>
        <v>1.7500000662421926</v>
      </c>
      <c r="P9" s="3">
        <f t="shared" si="1"/>
        <v>-4.9098859313541299E-2</v>
      </c>
      <c r="Q9" s="3">
        <f t="shared" si="2"/>
        <v>-6.9994278760124692E-2</v>
      </c>
      <c r="R9" s="3">
        <f t="shared" si="3"/>
        <v>95004.3535961694</v>
      </c>
      <c r="S9" s="3">
        <f t="shared" si="4"/>
        <v>-15992.932165112354</v>
      </c>
      <c r="T9" s="8">
        <f t="shared" si="5"/>
        <v>-136795.08255067441</v>
      </c>
      <c r="W9">
        <f t="shared" si="6"/>
        <v>2850130.6078850818</v>
      </c>
      <c r="X9">
        <f t="shared" si="7"/>
        <v>-479787.96495337063</v>
      </c>
      <c r="Y9">
        <v>412020</v>
      </c>
      <c r="Z9">
        <f t="shared" si="8"/>
        <v>891807.96495337063</v>
      </c>
    </row>
    <row r="10" spans="6:26" ht="15.75" x14ac:dyDescent="0.25">
      <c r="F10" s="3">
        <v>4</v>
      </c>
      <c r="G10" s="4">
        <v>1372.71</v>
      </c>
      <c r="H10" s="3">
        <v>800</v>
      </c>
      <c r="I10" s="3">
        <v>802.5</v>
      </c>
      <c r="J10" s="3">
        <v>805.78</v>
      </c>
      <c r="K10" s="3">
        <v>10.72</v>
      </c>
      <c r="L10" s="3">
        <v>52</v>
      </c>
      <c r="N10" s="3">
        <f t="shared" si="0"/>
        <v>3.2799999999999727</v>
      </c>
      <c r="O10" s="3">
        <f t="shared" si="9"/>
        <v>1.7500000012210579</v>
      </c>
      <c r="P10" s="3">
        <f t="shared" si="1"/>
        <v>-2.2414756314551733E-2</v>
      </c>
      <c r="Q10" s="3">
        <f t="shared" si="2"/>
        <v>-6.9999712170258382E-2</v>
      </c>
      <c r="R10" s="3">
        <f t="shared" si="3"/>
        <v>100553.60007016103</v>
      </c>
      <c r="S10" s="3">
        <f t="shared" si="4"/>
        <v>-7727.6037961745469</v>
      </c>
      <c r="T10" s="8">
        <f t="shared" si="5"/>
        <v>-144796.5886151992</v>
      </c>
      <c r="W10">
        <f t="shared" si="6"/>
        <v>3016608.0021048309</v>
      </c>
      <c r="X10">
        <f t="shared" si="7"/>
        <v>-231828.11388523641</v>
      </c>
      <c r="Y10">
        <v>412020</v>
      </c>
      <c r="Z10">
        <f t="shared" si="8"/>
        <v>643848.11388523644</v>
      </c>
    </row>
    <row r="11" spans="6:26" ht="15.75" x14ac:dyDescent="0.25">
      <c r="F11" s="3">
        <v>5</v>
      </c>
      <c r="G11" s="4">
        <v>1501.34</v>
      </c>
      <c r="H11" s="3">
        <v>800</v>
      </c>
      <c r="I11" s="3">
        <v>802.5</v>
      </c>
      <c r="J11" s="3">
        <v>806.05</v>
      </c>
      <c r="K11" s="3">
        <v>10.95</v>
      </c>
      <c r="L11" s="3">
        <v>52</v>
      </c>
      <c r="N11" s="3">
        <f t="shared" si="0"/>
        <v>3.5499999999999545</v>
      </c>
      <c r="O11" s="3">
        <f t="shared" si="9"/>
        <v>1.7500000000305471</v>
      </c>
      <c r="P11" s="3">
        <f t="shared" si="1"/>
        <v>-1.1077360916980557E-2</v>
      </c>
      <c r="Q11" s="3">
        <f t="shared" si="2"/>
        <v>-6.9999982362673283E-2</v>
      </c>
      <c r="R11" s="3">
        <f t="shared" si="3"/>
        <v>104914.68750183133</v>
      </c>
      <c r="S11" s="3">
        <f t="shared" si="4"/>
        <v>-3984.6098020447839</v>
      </c>
      <c r="T11" s="8">
        <f t="shared" si="5"/>
        <v>-151077.11193432778</v>
      </c>
      <c r="W11">
        <f t="shared" si="6"/>
        <v>3147440.6250549396</v>
      </c>
      <c r="X11">
        <f t="shared" si="7"/>
        <v>-119538.29406134352</v>
      </c>
      <c r="Y11">
        <v>412020</v>
      </c>
      <c r="Z11">
        <f t="shared" si="8"/>
        <v>531558.29406134353</v>
      </c>
    </row>
    <row r="12" spans="6:26" ht="16.5" thickBot="1" x14ac:dyDescent="0.3">
      <c r="F12" s="5">
        <v>6</v>
      </c>
      <c r="G12" s="6">
        <v>1965.42</v>
      </c>
      <c r="H12" s="5">
        <v>800</v>
      </c>
      <c r="I12" s="5">
        <v>802.5</v>
      </c>
      <c r="J12" s="5">
        <v>806.99</v>
      </c>
      <c r="K12" s="5">
        <v>11.69</v>
      </c>
      <c r="L12" s="5">
        <v>52</v>
      </c>
      <c r="N12" s="5">
        <f t="shared" si="0"/>
        <v>4.4900000000000091</v>
      </c>
      <c r="O12" s="5">
        <f t="shared" si="9"/>
        <v>1.75</v>
      </c>
      <c r="P12" s="5">
        <f t="shared" si="1"/>
        <v>-7.0856719649406777E-4</v>
      </c>
      <c r="Q12" s="5">
        <f t="shared" si="2"/>
        <v>-6.9999999999841911E-2</v>
      </c>
      <c r="R12" s="5">
        <f t="shared" si="3"/>
        <v>119574.08749999998</v>
      </c>
      <c r="S12" s="5">
        <f t="shared" si="4"/>
        <v>-290.49008898243886</v>
      </c>
      <c r="T12" s="11">
        <f t="shared" si="5"/>
        <v>-172186.6859996111</v>
      </c>
      <c r="W12">
        <f t="shared" si="6"/>
        <v>3587222.6249999995</v>
      </c>
      <c r="X12" s="9">
        <f t="shared" si="7"/>
        <v>-8714.7026694731667</v>
      </c>
      <c r="Y12" s="9">
        <v>412020</v>
      </c>
      <c r="Z12" s="9">
        <f t="shared" si="8"/>
        <v>420734.70266947319</v>
      </c>
    </row>
    <row r="13" spans="6:26" ht="15.75" x14ac:dyDescent="0.25">
      <c r="T13" s="8"/>
      <c r="W13" s="13"/>
    </row>
    <row r="15" spans="6:26" ht="30" x14ac:dyDescent="0.25">
      <c r="Z15" s="14" t="s">
        <v>19</v>
      </c>
    </row>
  </sheetData>
  <mergeCells count="1">
    <mergeCell ref="W2:Z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2026-09-25T11:25:53Z</dcterms:created>
  <dcterms:modified xsi:type="dcterms:W3CDTF">2026-09-25T15:13:41Z</dcterms:modified>
</cp:coreProperties>
</file>